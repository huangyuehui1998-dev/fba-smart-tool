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<sst xmlns="http://schemas.openxmlformats.org/spreadsheetml/2006/main" count="51" uniqueCount="31">
  <si>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请在下方提供此装箱组的包装箱详情。如果您有任何疑问，请参阅说明表。</t>
  </si>
  <si>
    <t>装箱组：1</t>
  </si>
  <si>
    <t>pga017e179-3ee7-44cd-96d2-7c4cbe84eeba</t>
  </si>
  <si>
    <r>
      <t xml:space="preserve">SKU </t>
    </r>
    <r>
      <rPr>
        <sz val="18"/>
        <rFont val="宋体"/>
        <charset val="134"/>
      </rPr>
      <t>总数：（</t>
    </r>
    <r>
      <rPr>
        <sz val="18"/>
        <rFont val="Calibri"/>
        <charset val="134"/>
      </rPr>
      <t xml:space="preserve"> </t>
    </r>
    <r>
      <rPr>
        <sz val="18"/>
        <rFont val="宋体"/>
        <charset val="134"/>
      </rPr>
      <t>件商品）</t>
    </r>
  </si>
  <si>
    <t>包装箱总数：</t>
  </si>
  <si>
    <t>SKU</t>
  </si>
  <si>
    <t xml:space="preserve">商品名称 </t>
  </si>
  <si>
    <t>Id</t>
  </si>
  <si>
    <t>ASIN</t>
  </si>
  <si>
    <t>FNSKU</t>
  </si>
  <si>
    <t>状况</t>
  </si>
  <si>
    <t>预处理类型</t>
  </si>
  <si>
    <t>商品预处理方是谁？</t>
  </si>
  <si>
    <t>商品贴标方是谁？</t>
  </si>
  <si>
    <t>预计数量</t>
  </si>
  <si>
    <t>装箱数量</t>
  </si>
  <si>
    <t>pka51f0637-ad64-4e32-90b7-e98ac94cbe0c</t>
  </si>
  <si>
    <t>NewItem</t>
  </si>
  <si>
    <t>贴标</t>
  </si>
  <si>
    <t/>
  </si>
  <si>
    <t>由卖家提供</t>
  </si>
  <si>
    <t>pk87a8a111-45c9-423d-8e9a-a999419f1e20</t>
  </si>
  <si>
    <t>pkd8a64a07-3a2e-464f-a31f-866f59dd906a</t>
  </si>
  <si>
    <t>pk8fffd403-1173-4bed-ba7d-55d7efb5b462</t>
  </si>
  <si>
    <t>pkcd328219-9b7d-451f-8d27-820e19ac851d</t>
  </si>
  <si>
    <t>pk83685092-6416-40b7-9f76-efcf745aa0d1</t>
  </si>
  <si>
    <t>包装箱名称</t>
  </si>
  <si>
    <t>包装箱重量（磅）：</t>
  </si>
  <si>
    <t>包装箱宽度（英寸）：</t>
  </si>
  <si>
    <t>包装箱长度（英寸）：</t>
  </si>
  <si>
    <t>包装箱高度（英寸）：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</si>
</sst>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indexed="53"/>
      <name val="Calibri"/>
      <charset val="134"/>
    </font>
    <font>
      <sz val="24"/>
      <name val="Calibri"/>
      <charset val="134"/>
    </font>
    <font>
      <sz val="18"/>
      <name val="Calibri"/>
      <charset val="134"/>
    </font>
    <font>
      <b/>
      <sz val="18"/>
      <name val="Calibri"/>
      <charset val="134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6" borderId="4">
      <alignment vertical="center"/>
    </xf>
    <xf numFmtId="0" fontId="16" fillId="7" borderId="5">
      <alignment vertical="center"/>
    </xf>
    <xf numFmtId="0" fontId="17" fillId="7" borderId="4">
      <alignment vertical="center"/>
    </xf>
    <xf numFmtId="0" fontId="18" fillId="8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4" fillId="0" borderId="0" xfId="0" applyFont="1" applyFill="1" applyAlignment="1"/>
    <xf numFmtId="0" fontId="4" fillId="0" borderId="0" xfId="0" applyFont="1" applyFill="1" applyAlignment="1">
      <alignment horizontal="right"/>
    </xf>
    <xf numFmtId="0" fontId="5" fillId="2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/>
    <xf numFmtId="0" fontId="6" fillId="4" borderId="0" xfId="0" applyFont="1" applyFill="1" applyAlignment="1"/>
    <xf numFmtId="0" fontId="6" fillId="0" borderId="0" xfId="0" applyFont="1" applyFill="1" applyAlignment="1">
      <alignment horizontal="right"/>
    </xf>
    <xf numFmtId="0" fontId="6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indexed="16"/>
      </font>
      <fill>
        <patternFill patternType="solid"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18"/>
  <sheetViews>
    <sheetView tabSelected="1" workbookViewId="0">
      <selection activeCell="B26" sqref="B26"/>
    </sheetView>
  </sheetViews>
  <sheetFormatPr defaultColWidth="9" defaultRowHeight="14"/>
  <cols>
    <col min="1" max="1" width="21" style="1" customWidth="1"/>
    <col min="2" max="2" width="61" style="1" customWidth="1"/>
    <col min="3" max="3" width="20" style="1" hidden="1" customWidth="1"/>
    <col min="4" max="5" width="21" style="1" customWidth="1"/>
    <col min="6" max="11" width="15" style="1" customWidth="1"/>
    <col min="12" max="12" width="1" style="1" customWidth="1"/>
    <col min="13" max="152" width="13" style="2" customWidth="1"/>
    <col min="153" max="16384" width="9" style="1"/>
  </cols>
  <sheetData>
    <row r="1" s="1" customFormat="1" ht="18.5" spans="1:15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</row>
    <row r="2" s="1" customFormat="1" ht="31" spans="1:152">
      <c r="A2" s="4" t="s">
        <v>1</v>
      </c>
      <c r="B2" s="4"/>
      <c r="C2" s="5" t="s">
        <v>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</row>
    <row r="3" s="1" customFormat="1" ht="23.5" spans="1:152">
      <c r="A3" s="6" t="s">
        <v>3</v>
      </c>
      <c r="B3" s="6"/>
      <c r="C3" s="6"/>
      <c r="I3" s="7" t="s">
        <v>4</v>
      </c>
      <c r="J3" s="7"/>
      <c r="K3" s="7"/>
      <c r="L3" s="7"/>
      <c r="M3" s="8">
        <v>130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</row>
    <row r="4" s="1" customFormat="1" ht="8" customHeight="1" spans="1:15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</row>
    <row r="5" s="1" customFormat="1" ht="15.5" spans="1:152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9"/>
      <c r="M5" s="10" t="str">
        <f>IF(M3&gt;=1,"包装箱 1 数量","")</f>
        <v>包装箱 1 数量</v>
      </c>
      <c r="N5" s="10" t="str">
        <f>IF(M3&gt;=2,"包装箱 2 数量","")</f>
        <v>包装箱 2 数量</v>
      </c>
      <c r="O5" s="10" t="str">
        <f>IF(M3&gt;=3,"包装箱 3 数量","")</f>
        <v>包装箱 3 数量</v>
      </c>
      <c r="P5" s="10" t="str">
        <f>IF(M3&gt;=4,"包装箱 4 数量","")</f>
        <v>包装箱 4 数量</v>
      </c>
      <c r="Q5" s="10" t="str">
        <f>IF(M3&gt;=5,"包装箱 5 数量","")</f>
        <v>包装箱 5 数量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 t="str">
        <f>IF(M3&gt;=131,"包装箱 131 数量","")</f>
        <v/>
      </c>
      <c r="EN5" s="10" t="str">
        <f>IF(M3&gt;=132,"包装箱 132 数量","")</f>
        <v/>
      </c>
      <c r="EO5" s="10" t="str">
        <f>IF(M3&gt;=133,"包装箱 133 数量","")</f>
        <v/>
      </c>
      <c r="EP5" s="10" t="str">
        <f>IF(M3&gt;=134,"包装箱 134 数量","")</f>
        <v/>
      </c>
      <c r="EQ5" s="10" t="str">
        <f>IF(M3&gt;=135,"包装箱 135 数量","")</f>
        <v/>
      </c>
      <c r="ER5" s="10" t="str">
        <f>IF(M3&gt;=136,"包装箱 136 数量","")</f>
        <v/>
      </c>
      <c r="ES5" s="10" t="str">
        <f>IF(M3&gt;=137,"包装箱 137 数量","")</f>
        <v/>
      </c>
      <c r="ET5" s="10" t="str">
        <f>IF(M3&gt;=138,"包装箱 138 数量","")</f>
        <v/>
      </c>
      <c r="EU5" s="10" t="str">
        <f>IF(M3&gt;=139,"包装箱 139 数量","")</f>
        <v/>
      </c>
      <c r="EV5" s="10" t="str">
        <f>IF(M3&gt;=140,"包装箱 140 数量","")</f>
        <v/>
      </c>
    </row>
    <row r="6" s="1" customFormat="1" spans="1:152">
      <c r="C6" s="1" t="s">
        <v>16</v>
      </c>
      <c r="D6" s="1"/>
      <c r="E6" s="1"/>
      <c r="F6" s="1" t="s">
        <v>17</v>
      </c>
      <c r="G6" s="1" t="s">
        <v>18</v>
      </c>
      <c r="H6" s="1" t="s">
        <v>19</v>
      </c>
      <c r="I6" s="1" t="s">
        <v>20</v>
      </c>
      <c r="J6" s="1"/>
      <c r="K6" s="1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</row>
    <row r="7" s="1" customFormat="1" spans="1:152">
      <c r="C7" s="1" t="s">
        <v>21</v>
      </c>
      <c r="D7" s="1"/>
      <c r="E7" s="1"/>
      <c r="F7" s="1" t="s">
        <v>17</v>
      </c>
      <c r="G7" s="1" t="s">
        <v>18</v>
      </c>
      <c r="H7" s="1" t="s">
        <v>19</v>
      </c>
      <c r="I7" s="1" t="s">
        <v>20</v>
      </c>
      <c r="J7" s="1"/>
      <c r="K7" s="1"/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</row>
    <row r="8" s="1" customFormat="1" spans="1:152">
      <c r="C8" s="1" t="s">
        <v>22</v>
      </c>
      <c r="D8" s="1"/>
      <c r="E8" s="1"/>
      <c r="F8" s="1" t="s">
        <v>17</v>
      </c>
      <c r="G8" s="1" t="s">
        <v>18</v>
      </c>
      <c r="H8" s="1" t="s">
        <v>19</v>
      </c>
      <c r="I8" s="1" t="s">
        <v>20</v>
      </c>
      <c r="J8" s="1"/>
      <c r="K8" s="1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</row>
    <row r="9" s="1" customFormat="1" spans="1:152">
      <c r="C9" s="1" t="s">
        <v>23</v>
      </c>
      <c r="D9" s="1"/>
      <c r="E9" s="1"/>
      <c r="F9" s="1" t="s">
        <v>17</v>
      </c>
      <c r="G9" s="1" t="s">
        <v>18</v>
      </c>
      <c r="H9" s="1" t="s">
        <v>19</v>
      </c>
      <c r="I9" s="1" t="s">
        <v>20</v>
      </c>
      <c r="J9" s="1"/>
      <c r="K9" s="1"/>
      <c r="L9" s="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</row>
    <row r="10" s="1" customFormat="1" spans="1:152">
      <c r="C10" s="1" t="s">
        <v>24</v>
      </c>
      <c r="D10" s="1"/>
      <c r="E10" s="1"/>
      <c r="F10" s="1" t="s">
        <v>17</v>
      </c>
      <c r="G10" s="1" t="s">
        <v>18</v>
      </c>
      <c r="H10" s="1" t="s">
        <v>19</v>
      </c>
      <c r="I10" s="1" t="s">
        <v>20</v>
      </c>
      <c r="J10" s="1"/>
      <c r="K10" s="1"/>
      <c r="L10" s="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</row>
    <row r="11" s="1" customFormat="1" spans="1:152">
      <c r="C11" s="1" t="s">
        <v>25</v>
      </c>
      <c r="D11" s="1"/>
      <c r="E11" s="1"/>
      <c r="F11" s="1" t="s">
        <v>17</v>
      </c>
      <c r="G11" s="1" t="s">
        <v>18</v>
      </c>
      <c r="H11" s="1" t="s">
        <v>19</v>
      </c>
      <c r="I11" s="1" t="s">
        <v>20</v>
      </c>
      <c r="J11" s="1"/>
      <c r="K11" s="1"/>
      <c r="L11" s="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</row>
    <row r="12" s="1" customFormat="1" ht="8" customHeight="1" spans="1:15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</row>
    <row r="13" s="1" customFormat="1" ht="15.5" spans="1:152">
      <c r="A13" s="11" t="s">
        <v>26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 t="str">
        <f>IF(M3&gt;=1,"P1 - B1","")</f>
        <v>P1 - B1</v>
      </c>
      <c r="N13" s="12" t="str">
        <f>IF(M3&gt;=2,"P1 - B2","")</f>
        <v>P1 - B2</v>
      </c>
      <c r="O13" s="12" t="str">
        <f>IF(M3&gt;=3,"P1 - B3","")</f>
        <v>P1 - B3</v>
      </c>
      <c r="P13" s="12" t="str">
        <f>IF(M3&gt;=4,"P1 - B4","")</f>
        <v>P1 - B4</v>
      </c>
      <c r="Q13" s="12" t="str">
        <f>IF(M3&gt;=5,"P1 - B5","")</f>
        <v>P1 - B5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 t="str">
        <f>IF(M3&gt;=131,"P1 - B131","")</f>
        <v/>
      </c>
      <c r="EN13" s="12" t="str">
        <f>IF(M3&gt;=132,"P1 - B132","")</f>
        <v/>
      </c>
      <c r="EO13" s="12" t="str">
        <f>IF(M3&gt;=133,"P1 - B133","")</f>
        <v/>
      </c>
      <c r="EP13" s="12" t="str">
        <f>IF(M3&gt;=134,"P1 - B134","")</f>
        <v/>
      </c>
      <c r="EQ13" s="12" t="str">
        <f>IF(M3&gt;=135,"P1 - B135","")</f>
        <v/>
      </c>
      <c r="ER13" s="12" t="str">
        <f>IF(M3&gt;=136,"P1 - B136","")</f>
        <v/>
      </c>
      <c r="ES13" s="12" t="str">
        <f>IF(M3&gt;=137,"P1 - B137","")</f>
        <v/>
      </c>
      <c r="ET13" s="12" t="str">
        <f>IF(M3&gt;=138,"P1 - B138","")</f>
        <v/>
      </c>
      <c r="EU13" s="12" t="str">
        <f>IF(M3&gt;=139,"P1 - B139","")</f>
        <v/>
      </c>
      <c r="EV13" s="12" t="str">
        <f>IF(M3&gt;=140,"P1 - B140","")</f>
        <v/>
      </c>
    </row>
    <row r="14" s="1" customFormat="1" ht="15.5" spans="1:152">
      <c r="A14" s="11" t="s">
        <v>27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</row>
    <row r="15" s="1" customFormat="1" ht="15.5" spans="1:152">
      <c r="A15" s="11" t="s">
        <v>28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</row>
    <row r="16" s="1" customFormat="1" ht="15.5" spans="1:152">
      <c r="A16" s="11" t="s">
        <v>29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</row>
    <row r="17" s="1" customFormat="1" ht="15.5" spans="1:152">
      <c r="A17" s="11" t="s">
        <v>30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</row>
    <row r="18" s="1" customFormat="1" ht="8" customHeight="1" spans="1:15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</row>
  </sheetData>
  <mergeCells count="12">
    <mergeCell ref="A1:L1"/>
    <mergeCell ref="A2:B2"/>
    <mergeCell ref="A3:C3"/>
    <mergeCell ref="I3:L3"/>
    <mergeCell ref="A4:L4"/>
    <mergeCell ref="A12:EV12"/>
    <mergeCell ref="A13:L13"/>
    <mergeCell ref="A14:L14"/>
    <mergeCell ref="A15:L15"/>
    <mergeCell ref="A16:L16"/>
    <mergeCell ref="A17:L17"/>
    <mergeCell ref="A18:EV18"/>
  </mergeCells>
  <conditionalFormatting sqref="K6">
    <cfRule type="expression" dxfId="0" priority="1">
      <formula>OR((J6&lt;&gt;K6),(INT(J6)&lt;&gt;J6))</formula>
    </cfRule>
  </conditionalFormatting>
  <conditionalFormatting sqref="K7">
    <cfRule type="expression" dxfId="0" priority="2">
      <formula>OR((J7&lt;&gt;K7),(INT(J7)&lt;&gt;J7))</formula>
    </cfRule>
  </conditionalFormatting>
  <conditionalFormatting sqref="K8">
    <cfRule type="expression" dxfId="0" priority="3">
      <formula>OR((J8&lt;&gt;K8),(INT(J8)&lt;&gt;J8))</formula>
    </cfRule>
  </conditionalFormatting>
  <conditionalFormatting sqref="K9">
    <cfRule type="expression" dxfId="0" priority="4">
      <formula>OR((J9&lt;&gt;K9),(INT(J9)&lt;&gt;J9))</formula>
    </cfRule>
  </conditionalFormatting>
  <conditionalFormatting sqref="K10">
    <cfRule type="expression" dxfId="0" priority="5">
      <formula>OR((J10&lt;&gt;K10),(INT(J10)&lt;&gt;J10))</formula>
    </cfRule>
  </conditionalFormatting>
  <conditionalFormatting sqref="K11">
    <cfRule type="expression" dxfId="0" priority="6">
      <formula>OR((J11&lt;&gt;K11),(INT(J11)&lt;&gt;J11))</formula>
    </cfRule>
  </conditionalFormatting>
  <dataValidations count="3">
    <dataValidation type="whole" operator="between" allowBlank="1" showErrorMessage="1" errorTitle="验证错误" error="输入介于 1 和 140 之间的整数" sqref="M3">
      <formula1>1</formula1>
      <formula2>140</formula2>
    </dataValidation>
    <dataValidation type="whole" operator="greaterThanOrEqual" allowBlank="1" showErrorMessage="1" errorTitle="验证错误" error="请输入大于或等于 0 的整数" sqref="M6:EV12">
      <formula1>0</formula1>
    </dataValidation>
    <dataValidation type="decimal" operator="greaterThan" allowBlank="1" showErrorMessage="1" errorTitle="验证错误" error="请输入大于 0 的数字" sqref="M14:EV17">
      <formula1>0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黄越辉</dc:creator>
  <cp:lastModifiedBy>HangYuehui</cp:lastModifiedBy>
  <dcterms:created xsi:type="dcterms:W3CDTF">2023-05-12T11:15:00Z</dcterms:created>
  <dcterms:modified xsi:type="dcterms:W3CDTF">2026-05-30T14:23:03Z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C390BD5AD4024ADDBBCE5B87A7E9631D_12</vt:lpwstr>
  </property>
  <property fmtid="{D5CDD505-2E9C-101B-9397-08002B2CF9AE}" pid="4" name="CalculationRule">
    <vt:i4>0</vt:i4>
  </property>
</Properties>
</file>